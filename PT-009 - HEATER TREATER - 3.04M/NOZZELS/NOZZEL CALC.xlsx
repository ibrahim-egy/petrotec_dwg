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ssa\OneDrive\Desktop\IBRAHIM WORK\Heater Treater - 3m\NOZZELS\"/>
    </mc:Choice>
  </mc:AlternateContent>
  <xr:revisionPtr revIDLastSave="0" documentId="13_ncr:1_{08A28052-F5B7-472C-ACFA-10EDCBFF34A7}" xr6:coauthVersionLast="47" xr6:coauthVersionMax="47" xr10:uidLastSave="{00000000-0000-0000-0000-000000000000}"/>
  <bookViews>
    <workbookView xWindow="-120" yWindow="-120" windowWidth="29040" windowHeight="15840" activeTab="1" xr2:uid="{3BC1AF5A-5A46-48D2-B844-ADBE8AB05D47}"/>
  </bookViews>
  <sheets>
    <sheet name="Sheet1" sheetId="1" r:id="rId1"/>
    <sheet name="Sheet2" sheetId="2" r:id="rId2"/>
    <sheet name="weights" sheetId="3" r:id="rId3"/>
  </sheets>
  <definedNames>
    <definedName name="_xlnm._FilterDatabase" localSheetId="0" hidden="1">Sheet1!$A$1:$J$33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L4" i="1"/>
  <c r="L3" i="1"/>
  <c r="F6" i="1"/>
  <c r="H28" i="1"/>
  <c r="F28" i="1"/>
  <c r="F29" i="1"/>
  <c r="H29" i="1"/>
  <c r="H27" i="1"/>
  <c r="F27" i="1"/>
  <c r="H26" i="1"/>
  <c r="F26" i="1"/>
  <c r="H25" i="1"/>
  <c r="F21" i="1"/>
  <c r="H21" i="1"/>
  <c r="H22" i="1"/>
  <c r="H23" i="1"/>
  <c r="H24" i="1"/>
  <c r="F22" i="1"/>
  <c r="F23" i="1"/>
  <c r="F24" i="1"/>
  <c r="F25" i="1"/>
  <c r="F2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30" i="1"/>
  <c r="H31" i="1"/>
  <c r="H32" i="1"/>
  <c r="H33" i="1"/>
  <c r="H2" i="1"/>
  <c r="F3" i="1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30" i="1"/>
  <c r="F31" i="1"/>
  <c r="F32" i="1"/>
  <c r="F33" i="1"/>
  <c r="F2" i="1"/>
</calcChain>
</file>

<file path=xl/sharedStrings.xml><?xml version="1.0" encoding="utf-8"?>
<sst xmlns="http://schemas.openxmlformats.org/spreadsheetml/2006/main" count="164" uniqueCount="89">
  <si>
    <t>NOZZEL</t>
  </si>
  <si>
    <t>X</t>
  </si>
  <si>
    <t>Y</t>
  </si>
  <si>
    <t>DIAMETER</t>
  </si>
  <si>
    <t>N1</t>
  </si>
  <si>
    <t>MARK</t>
  </si>
  <si>
    <t>N2</t>
  </si>
  <si>
    <t>N3</t>
  </si>
  <si>
    <t>N4</t>
  </si>
  <si>
    <t>N5</t>
  </si>
  <si>
    <t>LG1</t>
  </si>
  <si>
    <t>N6</t>
  </si>
  <si>
    <t>N7</t>
  </si>
  <si>
    <t>LG2</t>
  </si>
  <si>
    <t>N8</t>
  </si>
  <si>
    <t>N9</t>
  </si>
  <si>
    <t>LG3</t>
  </si>
  <si>
    <t>N10</t>
  </si>
  <si>
    <t>N11</t>
  </si>
  <si>
    <t>LG4</t>
  </si>
  <si>
    <t>N12</t>
  </si>
  <si>
    <t>PSV</t>
  </si>
  <si>
    <t>N13</t>
  </si>
  <si>
    <t>GAS/OUT</t>
  </si>
  <si>
    <t>N14</t>
  </si>
  <si>
    <t>N15</t>
  </si>
  <si>
    <t>PG</t>
  </si>
  <si>
    <t>D1</t>
  </si>
  <si>
    <t>D2</t>
  </si>
  <si>
    <t>D3</t>
  </si>
  <si>
    <t>D4</t>
  </si>
  <si>
    <t>D5</t>
  </si>
  <si>
    <t>OIL/OUT</t>
  </si>
  <si>
    <t>N16</t>
  </si>
  <si>
    <t>CRUDE/IN</t>
  </si>
  <si>
    <t>N17</t>
  </si>
  <si>
    <t>N18</t>
  </si>
  <si>
    <t>N19</t>
  </si>
  <si>
    <t>N20</t>
  </si>
  <si>
    <t>N21</t>
  </si>
  <si>
    <t>N22</t>
  </si>
  <si>
    <t>N23</t>
  </si>
  <si>
    <t>N24</t>
  </si>
  <si>
    <t>SP1</t>
  </si>
  <si>
    <t>SP2</t>
  </si>
  <si>
    <t>SP3</t>
  </si>
  <si>
    <t>SP4</t>
  </si>
  <si>
    <t>SP5</t>
  </si>
  <si>
    <t>LLS</t>
  </si>
  <si>
    <t>HHLS</t>
  </si>
  <si>
    <t>T.TH.OIL</t>
  </si>
  <si>
    <t>T.TH.WATER</t>
  </si>
  <si>
    <t>HLS</t>
  </si>
  <si>
    <t>N25</t>
  </si>
  <si>
    <t>FRESH WATER /IN</t>
  </si>
  <si>
    <t>N26</t>
  </si>
  <si>
    <t>LG5</t>
  </si>
  <si>
    <t>N27</t>
  </si>
  <si>
    <t>DRAIN</t>
  </si>
  <si>
    <t>Diameter</t>
  </si>
  <si>
    <t>Formula</t>
  </si>
  <si>
    <t>ARC LENGTH
180+</t>
  </si>
  <si>
    <t>ARC LENGTH
270-</t>
  </si>
  <si>
    <t>ARC LENGTH
180-</t>
  </si>
  <si>
    <t>ARC LENGTH
90+</t>
  </si>
  <si>
    <t>OFFSET
(PIPE LENGTH)</t>
  </si>
  <si>
    <t>LLLS</t>
  </si>
  <si>
    <t>OFFSET
(PIPE LENGTH)
(cm)</t>
  </si>
  <si>
    <t>DIAMETER
(inch)</t>
  </si>
  <si>
    <t>name</t>
  </si>
  <si>
    <t>vessel</t>
  </si>
  <si>
    <t>Dims</t>
  </si>
  <si>
    <t>9.5Length x 3.04φ diameter</t>
  </si>
  <si>
    <t>weight
(KG)</t>
  </si>
  <si>
    <t>endcap</t>
  </si>
  <si>
    <t>separation</t>
  </si>
  <si>
    <t>flange 16inch
thicnkess 16mm
بلدي</t>
  </si>
  <si>
    <t>elbow 90deg</t>
  </si>
  <si>
    <t>firetube 
without elblow</t>
  </si>
  <si>
    <t>17mx16inchφ</t>
  </si>
  <si>
    <t>firetube flange neck</t>
  </si>
  <si>
    <t>40cm length</t>
  </si>
  <si>
    <t>heater skid</t>
  </si>
  <si>
    <t>60.30/meter
39m length</t>
  </si>
  <si>
    <t>firtube flange
mounted on heater</t>
  </si>
  <si>
    <t>firtube flange</t>
  </si>
  <si>
    <t>manhole flange
slipon + blind</t>
  </si>
  <si>
    <t>75 + 160</t>
  </si>
  <si>
    <t>Weight
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</si>
</sst>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Segoe UI"/>
      <family val="2"/>
    </font>
    <font>
      <b/>
      <sz val="13"/>
      <color theme="1"/>
      <name val="Segoe UI"/>
      <family val="2"/>
    </font>
    <font>
      <sz val="10"/>
      <color theme="1"/>
      <name val="Arial Unicode MS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Arial Unicode MS"/>
      <family val="2"/>
    </font>
    <font>
      <sz val="14"/>
      <color theme="1"/>
      <name val="Segoe UI"/>
      <family val="2"/>
    </font>
    <font>
      <b/>
      <sz val="16"/>
      <color theme="1"/>
      <name val="Segoe UI"/>
      <family val="2"/>
    </font>
    <font>
      <sz val="2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2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4" fontId="10" fillId="0" borderId="16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84A04B-4CAC-4060-89D5-4730431BF7DA}" name="Table2" displayName="Table2" ref="A1:J33" totalsRowShown="0" headerRowDxfId="26" dataDxfId="25" tableBorderDxfId="24">
  <autoFilter ref="A1:J33" xr:uid="{1184A04B-4CAC-4060-89D5-4730431BF7DA}"/>
  <tableColumns count="10">
    <tableColumn id="1" xr3:uid="{987F9B67-37B2-4472-80F7-731ED5DFF025}" name="NOZZEL" dataDxfId="23"/>
    <tableColumn id="2" xr3:uid="{354EF153-CD92-4D00-93DA-3C7B77EFC7AD}" name="MARK" dataDxfId="22"/>
    <tableColumn id="3" xr3:uid="{CE6E52C7-2761-4949-8EE9-9F728B4CF9D0}" name="X" dataDxfId="21"/>
    <tableColumn id="4" xr3:uid="{D1BD2679-195C-4C68-8843-D43FD46A0E8B}" name="Y" dataDxfId="20"/>
    <tableColumn id="5" xr3:uid="{9FE9D9E1-ACD6-49D9-99A9-56D5895D7F6C}" name="ARC LENGTH_x000a_180+" dataDxfId="19"/>
    <tableColumn id="6" xr3:uid="{DFE98CB8-7E20-4A32-ACA9-5BA1DA7425D9}" name="ARC LENGTH_x000a_270-" dataDxfId="18">
      <calculatedColumnFormula>IF(E2=0, 0, ROUND(238.761041-E2, 2))</calculatedColumnFormula>
    </tableColumn>
    <tableColumn id="7" xr3:uid="{5E9582B0-4C8B-4171-96DE-4898F937EE25}" name="ARC LENGTH_x000a_180-" dataDxfId="17"/>
    <tableColumn id="8" xr3:uid="{A315C76C-9D4F-4617-A2CD-BA17290CA193}" name="ARC LENGTH_x000a_90+" dataDxfId="16">
      <calculatedColumnFormula>IF(G2=0, 0, ROUND(238.761041-G2, 2))</calculatedColumnFormula>
    </tableColumn>
    <tableColumn id="9" xr3:uid="{CB0DF492-AF61-496D-9F39-FA84FE25564C}" name="OFFSET_x000a_(PIPE LENGTH)" dataDxfId="15"/>
    <tableColumn id="10" xr3:uid="{3EC3E206-1B6F-4158-97CE-CB87DE12ECD8}" name="DIAMETER" dataDxfId="1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53270-0AFA-4711-83A4-86510AD5CA10}" name="Table1" displayName="Table1" ref="A1:E33" totalsRowShown="0" headerRowDxfId="13" dataDxfId="12">
  <autoFilter ref="A1:E33" xr:uid="{FDF53270-0AFA-4711-83A4-86510AD5CA10}"/>
  <sortState xmlns:xlrd2="http://schemas.microsoft.com/office/spreadsheetml/2017/richdata2" ref="A2:E33">
    <sortCondition ref="E1:E33"/>
  </sortState>
  <tableColumns count="5">
    <tableColumn id="1" xr3:uid="{1E7E4277-96A9-4EEE-B5FB-123FBABEFF5F}" name="NOZZEL" dataDxfId="11"/>
    <tableColumn id="2" xr3:uid="{E97AB94B-6F33-426D-8022-53ABB679435E}" name="MARK" dataDxfId="10"/>
    <tableColumn id="3" xr3:uid="{CFD0F762-98A8-4ACE-80B1-01F3521DDA7D}" name="OFFSET_x000a_(PIPE LENGTH)_x000a_(cm)" dataDxfId="9"/>
    <tableColumn id="5" xr3:uid="{CB66C7BF-3BD4-4EE2-BB19-4972CBC2728D}" name="Weight_x000a_(kg)" dataDxfId="7"/>
    <tableColumn id="4" xr3:uid="{7B47E7F1-3B2A-40C3-A3EA-44074A1765AE}" name="DIAMETER_x000a_(inch)" dataDxfId="8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02C574-DDA1-4421-8953-335B5AE329FF}" name="Table3" displayName="Table3" ref="A1:C12" totalsRowShown="0" headerRowDxfId="34" dataDxfId="32" headerRowBorderDxfId="33" tableBorderDxfId="31" totalsRowBorderDxfId="30">
  <autoFilter ref="A1:C12" xr:uid="{D302C574-DDA1-4421-8953-335B5AE329FF}">
    <filterColumn colId="0" hiddenButton="1"/>
    <filterColumn colId="1" hiddenButton="1"/>
    <filterColumn colId="2" hiddenButton="1"/>
  </autoFilter>
  <tableColumns count="3">
    <tableColumn id="1" xr3:uid="{1DF937D1-EE4D-493A-813A-8EC78F99D7B1}" name="name" dataDxfId="29"/>
    <tableColumn id="2" xr3:uid="{58904AF6-2864-485A-8D4B-F09FD5F8441F}" name="weight_x000a_(KG)" dataDxfId="28"/>
    <tableColumn id="3" xr3:uid="{5900086A-32F1-4CD1-A8D9-4A01EF775827}" name="Dims" dataDxfId="2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5E1F-7ACB-45BF-AAED-4F1F1D0F30C2}">
  <sheetPr codeName="Sheet1">
    <pageSetUpPr fitToPage="1"/>
  </sheetPr>
  <dimension ref="A1:L39"/>
  <sheetViews>
    <sheetView view="pageLayout" zoomScale="85" zoomScaleNormal="100" zoomScalePageLayoutView="85" workbookViewId="0">
      <selection activeCell="K13" sqref="K13"/>
    </sheetView>
  </sheetViews>
  <sheetFormatPr defaultRowHeight="18.75"/>
  <cols>
    <col min="1" max="1" width="11.85546875" style="3" customWidth="1"/>
    <col min="2" max="2" width="23.28515625" style="3" bestFit="1" customWidth="1"/>
    <col min="3" max="3" width="6.140625" style="3" bestFit="1" customWidth="1"/>
    <col min="4" max="4" width="9" style="3" bestFit="1" customWidth="1"/>
    <col min="5" max="5" width="17.5703125" style="3" bestFit="1" customWidth="1"/>
    <col min="6" max="6" width="17.7109375" style="3" bestFit="1" customWidth="1"/>
    <col min="7" max="8" width="17.5703125" style="3" bestFit="1" customWidth="1"/>
    <col min="9" max="9" width="19.85546875" style="3" bestFit="1" customWidth="1"/>
    <col min="10" max="10" width="14.85546875" style="3" customWidth="1"/>
    <col min="11" max="11" width="13.42578125" style="3" bestFit="1" customWidth="1"/>
    <col min="12" max="12" width="12.5703125" style="3" bestFit="1" customWidth="1"/>
    <col min="13" max="16384" width="9.140625" style="3"/>
  </cols>
  <sheetData>
    <row r="1" spans="1:12" s="9" customFormat="1" ht="37.5">
      <c r="A1" s="5" t="s">
        <v>0</v>
      </c>
      <c r="B1" s="16" t="s">
        <v>5</v>
      </c>
      <c r="C1" s="16" t="s">
        <v>1</v>
      </c>
      <c r="D1" s="16" t="s">
        <v>2</v>
      </c>
      <c r="E1" s="17" t="s">
        <v>61</v>
      </c>
      <c r="F1" s="17" t="s">
        <v>62</v>
      </c>
      <c r="G1" s="17" t="s">
        <v>63</v>
      </c>
      <c r="H1" s="17" t="s">
        <v>64</v>
      </c>
      <c r="I1" s="17" t="s">
        <v>65</v>
      </c>
      <c r="J1" s="16" t="s">
        <v>3</v>
      </c>
    </row>
    <row r="2" spans="1:12" ht="21">
      <c r="A2" s="14" t="s">
        <v>4</v>
      </c>
      <c r="B2" s="1" t="s">
        <v>49</v>
      </c>
      <c r="C2" s="1">
        <v>730</v>
      </c>
      <c r="D2" s="1">
        <v>285</v>
      </c>
      <c r="E2" s="1">
        <v>0</v>
      </c>
      <c r="F2" s="1">
        <f>IF(E2=0, 0, ROUND(238.761041-E2, 2))</f>
        <v>0</v>
      </c>
      <c r="G2" s="1">
        <v>161.91999999999999</v>
      </c>
      <c r="H2" s="1">
        <f>IF(G2=0, 0, ROUND(238.761041-G2, 2))</f>
        <v>76.84</v>
      </c>
      <c r="I2" s="1">
        <v>43.18</v>
      </c>
      <c r="J2" s="1">
        <v>3</v>
      </c>
      <c r="K2" s="10" t="s">
        <v>59</v>
      </c>
      <c r="L2" s="10" t="s">
        <v>60</v>
      </c>
    </row>
    <row r="3" spans="1:12" ht="21">
      <c r="A3" s="14" t="s">
        <v>6</v>
      </c>
      <c r="B3" s="1" t="s">
        <v>66</v>
      </c>
      <c r="C3" s="1">
        <v>730</v>
      </c>
      <c r="D3" s="1">
        <v>170</v>
      </c>
      <c r="E3" s="1">
        <v>0</v>
      </c>
      <c r="F3" s="1">
        <f t="shared" ref="F3:F33" si="0">IF(E3=0, 0, ROUND(238.761041-E3, 2))</f>
        <v>0</v>
      </c>
      <c r="G3" s="1">
        <v>18.042000000000002</v>
      </c>
      <c r="H3" s="1">
        <f t="shared" ref="H3:H33" si="1">IF(G3=0, 0, ROUND(238.761041-G3, 2))</f>
        <v>220.72</v>
      </c>
      <c r="I3" s="1">
        <v>17.586000000000002</v>
      </c>
      <c r="J3" s="1">
        <v>3</v>
      </c>
      <c r="K3" s="11">
        <v>1</v>
      </c>
      <c r="L3" s="12">
        <f>SUMIF(J:J, 1, I:I)/100</f>
        <v>1.3809900000000002</v>
      </c>
    </row>
    <row r="4" spans="1:12" ht="21">
      <c r="A4" s="14" t="s">
        <v>7</v>
      </c>
      <c r="B4" s="1" t="s">
        <v>50</v>
      </c>
      <c r="C4" s="1">
        <v>760</v>
      </c>
      <c r="D4" s="1">
        <v>260</v>
      </c>
      <c r="E4" s="1">
        <v>0</v>
      </c>
      <c r="F4" s="1">
        <f t="shared" si="0"/>
        <v>0</v>
      </c>
      <c r="G4" s="1">
        <v>120.11</v>
      </c>
      <c r="H4" s="1">
        <f t="shared" si="1"/>
        <v>118.65</v>
      </c>
      <c r="I4" s="1">
        <v>24.411999999999999</v>
      </c>
      <c r="J4" s="1">
        <v>1</v>
      </c>
      <c r="K4" s="11">
        <v>2</v>
      </c>
      <c r="L4" s="12">
        <f>SUMIF(J:J, 2, I:I)/100</f>
        <v>4.1924099999999989</v>
      </c>
    </row>
    <row r="5" spans="1:12" ht="21">
      <c r="A5" s="14" t="s">
        <v>8</v>
      </c>
      <c r="B5" s="1" t="s">
        <v>51</v>
      </c>
      <c r="C5" s="1">
        <v>760</v>
      </c>
      <c r="D5" s="1">
        <v>152</v>
      </c>
      <c r="E5" s="1">
        <v>0</v>
      </c>
      <c r="F5" s="1">
        <f t="shared" si="0"/>
        <v>0</v>
      </c>
      <c r="G5" s="1">
        <v>0</v>
      </c>
      <c r="H5" s="1">
        <f t="shared" si="1"/>
        <v>0</v>
      </c>
      <c r="I5" s="1">
        <v>15.736000000000001</v>
      </c>
      <c r="J5" s="1">
        <v>1</v>
      </c>
      <c r="K5" s="11">
        <v>3</v>
      </c>
      <c r="L5" s="12">
        <f>SUMIF(J:J, 3, I:I)/100</f>
        <v>2.1501399999999999</v>
      </c>
    </row>
    <row r="6" spans="1:12" ht="21">
      <c r="A6" s="14" t="s">
        <v>9</v>
      </c>
      <c r="B6" s="1" t="s">
        <v>10</v>
      </c>
      <c r="C6" s="1">
        <v>788</v>
      </c>
      <c r="D6" s="1">
        <v>290</v>
      </c>
      <c r="E6" s="1">
        <v>0</v>
      </c>
      <c r="F6" s="1">
        <f>IF(E6=0, 0, ROUND(238.761041-E6, 2))</f>
        <v>0</v>
      </c>
      <c r="G6" s="1">
        <v>173.012</v>
      </c>
      <c r="H6" s="1">
        <f t="shared" si="1"/>
        <v>65.75</v>
      </c>
      <c r="I6" s="1">
        <v>87.295000000000002</v>
      </c>
      <c r="J6" s="1">
        <v>2</v>
      </c>
      <c r="K6" s="11">
        <v>4</v>
      </c>
      <c r="L6" s="12">
        <f>SUMIF(J:J, 4, I:I)/100</f>
        <v>0.47997000000000001</v>
      </c>
    </row>
    <row r="7" spans="1:12" ht="20.25">
      <c r="A7" s="14" t="s">
        <v>11</v>
      </c>
      <c r="B7" s="1" t="s">
        <v>10</v>
      </c>
      <c r="C7" s="1">
        <v>788</v>
      </c>
      <c r="D7" s="1">
        <v>243</v>
      </c>
      <c r="E7" s="1">
        <v>0</v>
      </c>
      <c r="F7" s="1">
        <f t="shared" si="0"/>
        <v>0</v>
      </c>
      <c r="G7" s="1">
        <v>97.55</v>
      </c>
      <c r="H7" s="1">
        <f t="shared" si="1"/>
        <v>141.21</v>
      </c>
      <c r="I7" s="1">
        <v>24.55</v>
      </c>
      <c r="J7" s="1">
        <v>2</v>
      </c>
    </row>
    <row r="8" spans="1:12" ht="20.25">
      <c r="A8" s="14" t="s">
        <v>12</v>
      </c>
      <c r="B8" s="1" t="s">
        <v>13</v>
      </c>
      <c r="C8" s="1">
        <v>788</v>
      </c>
      <c r="D8" s="1">
        <v>165</v>
      </c>
      <c r="E8" s="1">
        <v>0</v>
      </c>
      <c r="F8" s="1">
        <f t="shared" si="0"/>
        <v>0</v>
      </c>
      <c r="G8" s="1">
        <v>130.04</v>
      </c>
      <c r="H8" s="1">
        <f t="shared" si="1"/>
        <v>108.72</v>
      </c>
      <c r="I8" s="1">
        <v>16.824000000000002</v>
      </c>
      <c r="J8" s="1">
        <v>2</v>
      </c>
    </row>
    <row r="9" spans="1:12" ht="20.25">
      <c r="A9" s="14" t="s">
        <v>14</v>
      </c>
      <c r="B9" s="1" t="s">
        <v>13</v>
      </c>
      <c r="C9" s="1">
        <v>788</v>
      </c>
      <c r="D9" s="1">
        <v>212</v>
      </c>
      <c r="E9" s="1">
        <v>0</v>
      </c>
      <c r="F9" s="1">
        <f t="shared" si="0"/>
        <v>0</v>
      </c>
      <c r="G9" s="1">
        <v>61.679000000000002</v>
      </c>
      <c r="H9" s="1">
        <f t="shared" si="1"/>
        <v>177.08</v>
      </c>
      <c r="I9" s="1">
        <v>29.661000000000001</v>
      </c>
      <c r="J9" s="1">
        <v>2</v>
      </c>
    </row>
    <row r="10" spans="1:12" ht="20.25">
      <c r="A10" s="14" t="s">
        <v>15</v>
      </c>
      <c r="B10" s="1" t="s">
        <v>16</v>
      </c>
      <c r="C10" s="1">
        <v>910</v>
      </c>
      <c r="D10" s="1">
        <v>260</v>
      </c>
      <c r="E10" s="1">
        <v>0</v>
      </c>
      <c r="F10" s="1">
        <f t="shared" si="0"/>
        <v>0</v>
      </c>
      <c r="G10" s="1">
        <v>120.11</v>
      </c>
      <c r="H10" s="1">
        <f t="shared" si="1"/>
        <v>118.65</v>
      </c>
      <c r="I10" s="1">
        <v>54.795999999999999</v>
      </c>
      <c r="J10" s="1">
        <v>2</v>
      </c>
    </row>
    <row r="11" spans="1:12" ht="20.25">
      <c r="A11" s="14" t="s">
        <v>17</v>
      </c>
      <c r="B11" s="1" t="s">
        <v>16</v>
      </c>
      <c r="C11" s="1">
        <v>910</v>
      </c>
      <c r="D11" s="1">
        <v>213</v>
      </c>
      <c r="E11" s="1">
        <v>0</v>
      </c>
      <c r="F11" s="1">
        <f t="shared" si="0"/>
        <v>0</v>
      </c>
      <c r="G11" s="1">
        <v>62.77</v>
      </c>
      <c r="H11" s="1">
        <f t="shared" si="1"/>
        <v>175.99</v>
      </c>
      <c r="I11" s="1">
        <v>20.748999999999999</v>
      </c>
      <c r="J11" s="1">
        <v>2</v>
      </c>
    </row>
    <row r="12" spans="1:12" ht="20.25">
      <c r="A12" s="14" t="s">
        <v>18</v>
      </c>
      <c r="B12" s="1" t="s">
        <v>19</v>
      </c>
      <c r="C12" s="1">
        <v>910</v>
      </c>
      <c r="D12" s="1">
        <v>80</v>
      </c>
      <c r="E12" s="1">
        <v>75.007000000000005</v>
      </c>
      <c r="F12" s="1">
        <f t="shared" si="0"/>
        <v>163.75</v>
      </c>
      <c r="G12" s="1">
        <v>0</v>
      </c>
      <c r="H12" s="1">
        <f t="shared" si="1"/>
        <v>0</v>
      </c>
      <c r="I12" s="1">
        <v>21.957000000000001</v>
      </c>
      <c r="J12" s="1">
        <v>2</v>
      </c>
    </row>
    <row r="13" spans="1:12" ht="20.25">
      <c r="A13" s="14" t="s">
        <v>20</v>
      </c>
      <c r="B13" s="1" t="s">
        <v>19</v>
      </c>
      <c r="C13" s="1">
        <v>910</v>
      </c>
      <c r="D13" s="1">
        <v>33</v>
      </c>
      <c r="E13" s="1">
        <v>136.69</v>
      </c>
      <c r="F13" s="1">
        <f t="shared" si="0"/>
        <v>102.07</v>
      </c>
      <c r="G13" s="1">
        <v>0</v>
      </c>
      <c r="H13" s="1">
        <f t="shared" si="1"/>
        <v>0</v>
      </c>
      <c r="I13" s="1">
        <v>63.524999999999999</v>
      </c>
      <c r="J13" s="1">
        <v>2</v>
      </c>
    </row>
    <row r="14" spans="1:12" ht="20.25">
      <c r="A14" s="14" t="s">
        <v>22</v>
      </c>
      <c r="B14" s="1" t="s">
        <v>21</v>
      </c>
      <c r="C14" s="1">
        <v>880</v>
      </c>
      <c r="D14" s="1">
        <v>300</v>
      </c>
      <c r="E14" s="1">
        <v>0</v>
      </c>
      <c r="F14" s="1">
        <f t="shared" si="0"/>
        <v>0</v>
      </c>
      <c r="G14" s="1">
        <v>0</v>
      </c>
      <c r="H14" s="1">
        <f t="shared" si="1"/>
        <v>0</v>
      </c>
      <c r="I14" s="1">
        <v>15.927000000000001</v>
      </c>
      <c r="J14" s="1">
        <v>3</v>
      </c>
    </row>
    <row r="15" spans="1:12" ht="20.25">
      <c r="A15" s="14" t="s">
        <v>24</v>
      </c>
      <c r="B15" s="1" t="s">
        <v>23</v>
      </c>
      <c r="C15" s="1">
        <v>925</v>
      </c>
      <c r="D15" s="1">
        <v>300</v>
      </c>
      <c r="E15" s="1">
        <v>0</v>
      </c>
      <c r="F15" s="1">
        <f t="shared" si="0"/>
        <v>0</v>
      </c>
      <c r="G15" s="1">
        <v>0</v>
      </c>
      <c r="H15" s="1">
        <f t="shared" si="1"/>
        <v>0</v>
      </c>
      <c r="I15" s="1">
        <v>15.999000000000001</v>
      </c>
      <c r="J15" s="1">
        <v>4</v>
      </c>
    </row>
    <row r="16" spans="1:12" ht="20.25">
      <c r="A16" s="14" t="s">
        <v>25</v>
      </c>
      <c r="B16" s="1" t="s">
        <v>26</v>
      </c>
      <c r="C16" s="1">
        <v>800</v>
      </c>
      <c r="D16" s="1">
        <v>300</v>
      </c>
      <c r="E16" s="1">
        <v>0</v>
      </c>
      <c r="F16" s="1">
        <f t="shared" si="0"/>
        <v>0</v>
      </c>
      <c r="G16" s="1">
        <v>0</v>
      </c>
      <c r="H16" s="1">
        <f t="shared" si="1"/>
        <v>0</v>
      </c>
      <c r="I16" s="1">
        <v>15.736000000000001</v>
      </c>
      <c r="J16" s="1">
        <v>2</v>
      </c>
    </row>
    <row r="17" spans="1:10" ht="20.25">
      <c r="A17" s="14" t="s">
        <v>33</v>
      </c>
      <c r="B17" s="1" t="s">
        <v>32</v>
      </c>
      <c r="C17" s="1">
        <v>937</v>
      </c>
      <c r="D17" s="1">
        <v>0</v>
      </c>
      <c r="E17" s="1">
        <v>0</v>
      </c>
      <c r="F17" s="1">
        <f t="shared" si="0"/>
        <v>0</v>
      </c>
      <c r="G17" s="1">
        <v>0</v>
      </c>
      <c r="H17" s="1">
        <f t="shared" si="1"/>
        <v>0</v>
      </c>
      <c r="I17" s="1">
        <v>15.999000000000001</v>
      </c>
      <c r="J17" s="1">
        <v>4</v>
      </c>
    </row>
    <row r="18" spans="1:10" ht="20.25">
      <c r="A18" s="14" t="s">
        <v>35</v>
      </c>
      <c r="B18" s="1" t="s">
        <v>34</v>
      </c>
      <c r="C18" s="1">
        <v>700</v>
      </c>
      <c r="D18" s="1">
        <v>0</v>
      </c>
      <c r="E18" s="1">
        <v>0</v>
      </c>
      <c r="F18" s="1">
        <f t="shared" si="0"/>
        <v>0</v>
      </c>
      <c r="G18" s="1">
        <v>0</v>
      </c>
      <c r="H18" s="1">
        <f t="shared" si="1"/>
        <v>0</v>
      </c>
      <c r="I18" s="1">
        <v>15.999000000000001</v>
      </c>
      <c r="J18" s="1">
        <v>4</v>
      </c>
    </row>
    <row r="19" spans="1:10" ht="20.25">
      <c r="A19" s="14" t="s">
        <v>36</v>
      </c>
      <c r="B19" s="1" t="s">
        <v>52</v>
      </c>
      <c r="C19" s="1">
        <v>935</v>
      </c>
      <c r="D19" s="1">
        <v>240</v>
      </c>
      <c r="E19" s="1">
        <v>0</v>
      </c>
      <c r="F19" s="1">
        <f t="shared" si="0"/>
        <v>0</v>
      </c>
      <c r="G19" s="1">
        <v>93.85</v>
      </c>
      <c r="H19" s="1">
        <f t="shared" si="1"/>
        <v>144.91</v>
      </c>
      <c r="I19" s="1">
        <v>26.42</v>
      </c>
      <c r="J19" s="1">
        <v>3</v>
      </c>
    </row>
    <row r="20" spans="1:10" ht="20.25">
      <c r="A20" s="14" t="s">
        <v>37</v>
      </c>
      <c r="B20" s="1" t="s">
        <v>48</v>
      </c>
      <c r="C20" s="1">
        <v>935</v>
      </c>
      <c r="D20" s="1">
        <v>40</v>
      </c>
      <c r="E20" s="1">
        <v>125.91500000000001</v>
      </c>
      <c r="F20" s="1">
        <f t="shared" si="0"/>
        <v>112.85</v>
      </c>
      <c r="G20" s="1">
        <v>0</v>
      </c>
      <c r="H20" s="1">
        <f t="shared" si="1"/>
        <v>0</v>
      </c>
      <c r="I20" s="1">
        <v>32.376999999999995</v>
      </c>
      <c r="J20" s="1">
        <v>3</v>
      </c>
    </row>
    <row r="21" spans="1:10" ht="20.25">
      <c r="A21" s="14" t="s">
        <v>38</v>
      </c>
      <c r="B21" s="1" t="s">
        <v>43</v>
      </c>
      <c r="C21" s="1">
        <v>700</v>
      </c>
      <c r="D21" s="1">
        <v>265</v>
      </c>
      <c r="E21" s="1">
        <v>0</v>
      </c>
      <c r="F21" s="1">
        <f t="shared" si="0"/>
        <v>0</v>
      </c>
      <c r="G21" s="1">
        <v>127.4</v>
      </c>
      <c r="H21" s="1">
        <f t="shared" si="1"/>
        <v>111.36</v>
      </c>
      <c r="I21" s="1">
        <v>25.375999999999998</v>
      </c>
      <c r="J21" s="1">
        <v>1</v>
      </c>
    </row>
    <row r="22" spans="1:10" ht="20.25">
      <c r="A22" s="14" t="s">
        <v>39</v>
      </c>
      <c r="B22" s="1" t="s">
        <v>44</v>
      </c>
      <c r="C22" s="1">
        <v>688</v>
      </c>
      <c r="D22" s="1">
        <v>235</v>
      </c>
      <c r="E22" s="1">
        <v>0</v>
      </c>
      <c r="F22" s="1">
        <f t="shared" si="0"/>
        <v>0</v>
      </c>
      <c r="G22" s="1">
        <v>87.8</v>
      </c>
      <c r="H22" s="1">
        <f t="shared" si="1"/>
        <v>150.96</v>
      </c>
      <c r="I22" s="1">
        <v>21.068000000000001</v>
      </c>
      <c r="J22" s="1">
        <v>1</v>
      </c>
    </row>
    <row r="23" spans="1:10" ht="20.25">
      <c r="A23" s="14" t="s">
        <v>40</v>
      </c>
      <c r="B23" s="1" t="s">
        <v>45</v>
      </c>
      <c r="C23" s="1">
        <v>676</v>
      </c>
      <c r="D23" s="1">
        <v>205</v>
      </c>
      <c r="E23" s="1">
        <v>0</v>
      </c>
      <c r="F23" s="1">
        <f t="shared" si="0"/>
        <v>0</v>
      </c>
      <c r="G23" s="1">
        <v>54.137</v>
      </c>
      <c r="H23" s="1">
        <f t="shared" si="1"/>
        <v>184.62</v>
      </c>
      <c r="I23" s="1">
        <v>18.602</v>
      </c>
      <c r="J23" s="1">
        <v>1</v>
      </c>
    </row>
    <row r="24" spans="1:10" ht="20.25">
      <c r="A24" s="14" t="s">
        <v>41</v>
      </c>
      <c r="B24" s="1" t="s">
        <v>46</v>
      </c>
      <c r="C24" s="1">
        <v>664</v>
      </c>
      <c r="D24" s="1">
        <v>175</v>
      </c>
      <c r="E24" s="1">
        <v>0</v>
      </c>
      <c r="F24" s="1">
        <f t="shared" si="0"/>
        <v>0</v>
      </c>
      <c r="G24" s="1">
        <v>23.08</v>
      </c>
      <c r="H24" s="1">
        <f t="shared" si="1"/>
        <v>215.68</v>
      </c>
      <c r="I24" s="1">
        <v>16.846</v>
      </c>
      <c r="J24" s="1">
        <v>1</v>
      </c>
    </row>
    <row r="25" spans="1:10" ht="20.25">
      <c r="A25" s="14" t="s">
        <v>42</v>
      </c>
      <c r="B25" s="1" t="s">
        <v>47</v>
      </c>
      <c r="C25" s="1">
        <v>652</v>
      </c>
      <c r="D25" s="1">
        <v>145</v>
      </c>
      <c r="E25" s="1">
        <v>7</v>
      </c>
      <c r="F25" s="1">
        <f t="shared" si="0"/>
        <v>231.76</v>
      </c>
      <c r="G25" s="1">
        <v>0</v>
      </c>
      <c r="H25" s="1">
        <f t="shared" si="1"/>
        <v>0</v>
      </c>
      <c r="I25" s="1">
        <v>16.059000000000001</v>
      </c>
      <c r="J25" s="1">
        <v>1</v>
      </c>
    </row>
    <row r="26" spans="1:10" ht="20.25">
      <c r="A26" s="14" t="s">
        <v>53</v>
      </c>
      <c r="B26" s="1" t="s">
        <v>54</v>
      </c>
      <c r="C26" s="1">
        <v>100</v>
      </c>
      <c r="D26" s="1">
        <v>0</v>
      </c>
      <c r="E26" s="1">
        <v>0</v>
      </c>
      <c r="F26" s="1">
        <f t="shared" ref="F26" si="2">IF(E26=0, 0, ROUND(238.761041-E26, 2))</f>
        <v>0</v>
      </c>
      <c r="G26" s="1">
        <v>0</v>
      </c>
      <c r="H26" s="1">
        <f t="shared" ref="H26" si="3">IF(G26=0, 0, ROUND(238.761041-G26, 2))</f>
        <v>0</v>
      </c>
      <c r="I26" s="1">
        <v>15.927000000000001</v>
      </c>
      <c r="J26" s="1">
        <v>3</v>
      </c>
    </row>
    <row r="27" spans="1:10" ht="20.25">
      <c r="A27" s="14" t="s">
        <v>55</v>
      </c>
      <c r="B27" s="1" t="s">
        <v>56</v>
      </c>
      <c r="C27" s="1">
        <v>808</v>
      </c>
      <c r="D27" s="1">
        <v>251.1</v>
      </c>
      <c r="E27" s="1">
        <v>0</v>
      </c>
      <c r="F27" s="1">
        <f t="shared" ref="F27" si="4">IF(E27=0, 0, ROUND(238.761041-E27, 2))</f>
        <v>0</v>
      </c>
      <c r="G27" s="1">
        <v>107.8</v>
      </c>
      <c r="H27" s="1">
        <f t="shared" ref="H27" si="5">IF(G27=0, 0, ROUND(238.761041-G27, 2))</f>
        <v>130.96</v>
      </c>
      <c r="I27" s="1">
        <v>48.470999999999997</v>
      </c>
      <c r="J27" s="1">
        <v>2</v>
      </c>
    </row>
    <row r="28" spans="1:10" ht="20.25">
      <c r="A28" s="14" t="s">
        <v>57</v>
      </c>
      <c r="B28" s="1" t="s">
        <v>56</v>
      </c>
      <c r="C28" s="1">
        <v>803</v>
      </c>
      <c r="D28" s="1">
        <v>204.1</v>
      </c>
      <c r="E28" s="1">
        <v>0</v>
      </c>
      <c r="F28" s="1">
        <f t="shared" ref="F28" si="6">IF(E28=0, 0, ROUND(238.761041-E28, 2))</f>
        <v>0</v>
      </c>
      <c r="G28" s="1">
        <v>53.072000000000003</v>
      </c>
      <c r="H28" s="1">
        <f t="shared" ref="H28" si="7">IF(G28=0, 0, ROUND(238.761041-G28, 2))</f>
        <v>185.69</v>
      </c>
      <c r="I28" s="1">
        <v>19.861000000000001</v>
      </c>
      <c r="J28" s="1">
        <v>2</v>
      </c>
    </row>
    <row r="29" spans="1:10" ht="20.25">
      <c r="A29" s="14" t="s">
        <v>27</v>
      </c>
      <c r="B29" s="1" t="s">
        <v>58</v>
      </c>
      <c r="C29" s="1">
        <v>200</v>
      </c>
      <c r="D29" s="1">
        <v>0</v>
      </c>
      <c r="E29" s="1">
        <v>0</v>
      </c>
      <c r="F29" s="1">
        <f t="shared" si="0"/>
        <v>0</v>
      </c>
      <c r="G29" s="1">
        <v>0</v>
      </c>
      <c r="H29" s="1">
        <f t="shared" si="1"/>
        <v>0</v>
      </c>
      <c r="I29" s="1">
        <v>15.927000000000001</v>
      </c>
      <c r="J29" s="1">
        <v>3</v>
      </c>
    </row>
    <row r="30" spans="1:10">
      <c r="A30" s="15" t="s">
        <v>28</v>
      </c>
      <c r="B30" s="2" t="s">
        <v>58</v>
      </c>
      <c r="C30" s="2">
        <v>400</v>
      </c>
      <c r="D30" s="2">
        <v>0</v>
      </c>
      <c r="E30" s="2">
        <v>0</v>
      </c>
      <c r="F30" s="2">
        <f t="shared" si="0"/>
        <v>0</v>
      </c>
      <c r="G30" s="2">
        <v>0</v>
      </c>
      <c r="H30" s="2">
        <f t="shared" si="1"/>
        <v>0</v>
      </c>
      <c r="I30" s="2">
        <v>15.927000000000001</v>
      </c>
      <c r="J30" s="2">
        <v>3</v>
      </c>
    </row>
    <row r="31" spans="1:10">
      <c r="A31" s="15" t="s">
        <v>29</v>
      </c>
      <c r="B31" s="2" t="s">
        <v>58</v>
      </c>
      <c r="C31" s="2">
        <v>600</v>
      </c>
      <c r="D31" s="2">
        <v>0</v>
      </c>
      <c r="E31" s="2">
        <v>0</v>
      </c>
      <c r="F31" s="2">
        <f t="shared" si="0"/>
        <v>0</v>
      </c>
      <c r="G31" s="2">
        <v>0</v>
      </c>
      <c r="H31" s="2">
        <f t="shared" si="1"/>
        <v>0</v>
      </c>
      <c r="I31" s="2">
        <v>15.927000000000001</v>
      </c>
      <c r="J31" s="2">
        <v>3</v>
      </c>
    </row>
    <row r="32" spans="1:10">
      <c r="A32" s="15" t="s">
        <v>30</v>
      </c>
      <c r="B32" s="2" t="s">
        <v>58</v>
      </c>
      <c r="C32" s="2">
        <v>850</v>
      </c>
      <c r="D32" s="2">
        <v>0</v>
      </c>
      <c r="E32" s="2">
        <v>0</v>
      </c>
      <c r="F32" s="2">
        <f t="shared" si="0"/>
        <v>0</v>
      </c>
      <c r="G32" s="2">
        <v>0</v>
      </c>
      <c r="H32" s="2">
        <f t="shared" si="1"/>
        <v>0</v>
      </c>
      <c r="I32" s="2">
        <v>15.816000000000001</v>
      </c>
      <c r="J32" s="2">
        <v>3</v>
      </c>
    </row>
    <row r="33" spans="1:10">
      <c r="A33" s="15" t="s">
        <v>31</v>
      </c>
      <c r="B33" s="2" t="s">
        <v>58</v>
      </c>
      <c r="C33" s="2">
        <v>908</v>
      </c>
      <c r="D33" s="2">
        <v>0</v>
      </c>
      <c r="E33" s="2">
        <v>0</v>
      </c>
      <c r="F33" s="2">
        <f t="shared" si="0"/>
        <v>0</v>
      </c>
      <c r="G33" s="2">
        <v>0</v>
      </c>
      <c r="H33" s="2">
        <f t="shared" si="1"/>
        <v>0</v>
      </c>
      <c r="I33" s="2">
        <v>15.816000000000001</v>
      </c>
      <c r="J33" s="2">
        <v>2</v>
      </c>
    </row>
    <row r="39" spans="1:10">
      <c r="A39" s="4"/>
      <c r="B39" s="13"/>
    </row>
  </sheetData>
  <phoneticPr fontId="1" type="noConversion"/>
  <printOptions horizontalCentered="1" verticalCentered="1"/>
  <pageMargins left="0.25" right="0.25" top="0.25" bottom="0.25" header="0" footer="0"/>
  <pageSetup paperSize="9" scale="7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995A-6F0C-43B9-9092-F897F9F6FC31}">
  <sheetPr>
    <pageSetUpPr fitToPage="1"/>
  </sheetPr>
  <dimension ref="A1:E39"/>
  <sheetViews>
    <sheetView tabSelected="1" zoomScale="55" zoomScaleNormal="55" workbookViewId="0">
      <selection activeCell="D25" sqref="D25"/>
    </sheetView>
  </sheetViews>
  <sheetFormatPr defaultRowHeight="18.75"/>
  <cols>
    <col min="1" max="1" width="12.28515625" style="3" customWidth="1"/>
    <col min="2" max="2" width="23.140625" bestFit="1" customWidth="1"/>
    <col min="3" max="3" width="40.28515625" bestFit="1" customWidth="1"/>
    <col min="4" max="4" width="40.28515625" customWidth="1"/>
    <col min="5" max="5" width="15.28515625" customWidth="1"/>
  </cols>
  <sheetData>
    <row r="1" spans="1:5" ht="38.25" thickBot="1">
      <c r="A1" s="5" t="s">
        <v>0</v>
      </c>
      <c r="B1" s="5" t="s">
        <v>5</v>
      </c>
      <c r="C1" s="5" t="s">
        <v>67</v>
      </c>
      <c r="D1" s="8" t="s">
        <v>88</v>
      </c>
      <c r="E1" s="8" t="s">
        <v>68</v>
      </c>
    </row>
    <row r="2" spans="1:5" ht="26.1" customHeight="1">
      <c r="A2" s="18" t="s">
        <v>7</v>
      </c>
      <c r="B2" s="19" t="s">
        <v>50</v>
      </c>
      <c r="C2" s="27">
        <v>24.5</v>
      </c>
      <c r="D2" s="48">
        <v>1.66</v>
      </c>
      <c r="E2" s="29">
        <v>1</v>
      </c>
    </row>
    <row r="3" spans="1:5" ht="26.1" customHeight="1">
      <c r="A3" s="20" t="s">
        <v>8</v>
      </c>
      <c r="B3" s="6" t="s">
        <v>51</v>
      </c>
      <c r="C3" s="26">
        <v>15.799999999999999</v>
      </c>
      <c r="D3" s="49">
        <v>1.38</v>
      </c>
      <c r="E3" s="30">
        <v>1</v>
      </c>
    </row>
    <row r="4" spans="1:5" ht="26.1" customHeight="1">
      <c r="A4" s="20" t="s">
        <v>38</v>
      </c>
      <c r="B4" s="6" t="s">
        <v>43</v>
      </c>
      <c r="C4" s="26">
        <v>25.400000000000002</v>
      </c>
      <c r="D4" s="49">
        <v>1.69</v>
      </c>
      <c r="E4" s="30">
        <v>1</v>
      </c>
    </row>
    <row r="5" spans="1:5" ht="26.1" customHeight="1">
      <c r="A5" s="20" t="s">
        <v>39</v>
      </c>
      <c r="B5" s="6" t="s">
        <v>44</v>
      </c>
      <c r="C5" s="26">
        <v>21.1</v>
      </c>
      <c r="D5" s="49">
        <v>1.55</v>
      </c>
      <c r="E5" s="30">
        <v>1</v>
      </c>
    </row>
    <row r="6" spans="1:5" ht="26.1" customHeight="1">
      <c r="A6" s="20" t="s">
        <v>40</v>
      </c>
      <c r="B6" s="6" t="s">
        <v>45</v>
      </c>
      <c r="C6" s="26">
        <v>18.700000000000003</v>
      </c>
      <c r="D6" s="49">
        <v>1.48</v>
      </c>
      <c r="E6" s="30">
        <v>1</v>
      </c>
    </row>
    <row r="7" spans="1:5" ht="26.1" customHeight="1">
      <c r="A7" s="20" t="s">
        <v>41</v>
      </c>
      <c r="B7" s="6" t="s">
        <v>46</v>
      </c>
      <c r="C7" s="26">
        <v>16.900000000000002</v>
      </c>
      <c r="D7" s="49">
        <v>1.42</v>
      </c>
      <c r="E7" s="30">
        <v>1</v>
      </c>
    </row>
    <row r="8" spans="1:5" ht="26.1" customHeight="1" thickBot="1">
      <c r="A8" s="24" t="s">
        <v>42</v>
      </c>
      <c r="B8" s="25" t="s">
        <v>47</v>
      </c>
      <c r="C8" s="28">
        <v>16.100000000000001</v>
      </c>
      <c r="D8" s="50">
        <v>1.39</v>
      </c>
      <c r="E8" s="31">
        <v>1</v>
      </c>
    </row>
    <row r="9" spans="1:5" ht="26.1" customHeight="1">
      <c r="A9" s="18" t="s">
        <v>9</v>
      </c>
      <c r="B9" s="19" t="s">
        <v>10</v>
      </c>
      <c r="C9" s="27">
        <v>87.3</v>
      </c>
      <c r="D9" s="48">
        <v>9.02</v>
      </c>
      <c r="E9" s="29">
        <v>2</v>
      </c>
    </row>
    <row r="10" spans="1:5" ht="26.1" customHeight="1">
      <c r="A10" s="20" t="s">
        <v>11</v>
      </c>
      <c r="B10" s="6" t="s">
        <v>10</v>
      </c>
      <c r="C10" s="26">
        <v>24.6</v>
      </c>
      <c r="D10" s="49">
        <v>4.29</v>
      </c>
      <c r="E10" s="30">
        <v>2</v>
      </c>
    </row>
    <row r="11" spans="1:5" ht="26.1" customHeight="1">
      <c r="A11" s="20" t="s">
        <v>12</v>
      </c>
      <c r="B11" s="6" t="s">
        <v>13</v>
      </c>
      <c r="C11" s="26">
        <v>16.900000000000002</v>
      </c>
      <c r="D11" s="49">
        <v>3.71</v>
      </c>
      <c r="E11" s="30">
        <v>2</v>
      </c>
    </row>
    <row r="12" spans="1:5" ht="26.1" customHeight="1">
      <c r="A12" s="20" t="s">
        <v>14</v>
      </c>
      <c r="B12" s="6" t="s">
        <v>13</v>
      </c>
      <c r="C12" s="26">
        <v>29.700000000000003</v>
      </c>
      <c r="D12" s="49">
        <v>4.67</v>
      </c>
      <c r="E12" s="30">
        <v>2</v>
      </c>
    </row>
    <row r="13" spans="1:5" ht="26.1" customHeight="1">
      <c r="A13" s="20" t="s">
        <v>15</v>
      </c>
      <c r="B13" s="6" t="s">
        <v>16</v>
      </c>
      <c r="C13" s="26">
        <v>54.800000000000004</v>
      </c>
      <c r="D13" s="49">
        <v>6.55</v>
      </c>
      <c r="E13" s="30">
        <v>2</v>
      </c>
    </row>
    <row r="14" spans="1:5" ht="26.1" customHeight="1">
      <c r="A14" s="20" t="s">
        <v>17</v>
      </c>
      <c r="B14" s="6" t="s">
        <v>16</v>
      </c>
      <c r="C14" s="26">
        <v>20.8</v>
      </c>
      <c r="D14" s="49">
        <v>4.01</v>
      </c>
      <c r="E14" s="30">
        <v>2</v>
      </c>
    </row>
    <row r="15" spans="1:5" ht="26.1" customHeight="1">
      <c r="A15" s="20" t="s">
        <v>18</v>
      </c>
      <c r="B15" s="6" t="s">
        <v>19</v>
      </c>
      <c r="C15" s="26">
        <v>22</v>
      </c>
      <c r="D15" s="49">
        <v>4.0999999999999996</v>
      </c>
      <c r="E15" s="30">
        <v>2</v>
      </c>
    </row>
    <row r="16" spans="1:5" ht="26.1" customHeight="1">
      <c r="A16" s="20" t="s">
        <v>20</v>
      </c>
      <c r="B16" s="6" t="s">
        <v>19</v>
      </c>
      <c r="C16" s="26">
        <v>63.6</v>
      </c>
      <c r="D16" s="49">
        <v>7.21</v>
      </c>
      <c r="E16" s="30">
        <v>2</v>
      </c>
    </row>
    <row r="17" spans="1:5" ht="26.1" customHeight="1">
      <c r="A17" s="20" t="s">
        <v>25</v>
      </c>
      <c r="B17" s="6" t="s">
        <v>26</v>
      </c>
      <c r="C17" s="26">
        <v>15.799999999999999</v>
      </c>
      <c r="D17" s="49">
        <v>3.63</v>
      </c>
      <c r="E17" s="30">
        <v>2</v>
      </c>
    </row>
    <row r="18" spans="1:5" ht="26.1" customHeight="1">
      <c r="A18" s="20" t="s">
        <v>55</v>
      </c>
      <c r="B18" s="6" t="s">
        <v>56</v>
      </c>
      <c r="C18" s="26">
        <v>49</v>
      </c>
      <c r="D18" s="49">
        <v>6.12</v>
      </c>
      <c r="E18" s="30">
        <v>2</v>
      </c>
    </row>
    <row r="19" spans="1:5" ht="26.1" customHeight="1">
      <c r="A19" s="20" t="s">
        <v>57</v>
      </c>
      <c r="B19" s="6" t="s">
        <v>56</v>
      </c>
      <c r="C19" s="26">
        <v>19.900000000000002</v>
      </c>
      <c r="D19" s="49">
        <v>3.94</v>
      </c>
      <c r="E19" s="30">
        <v>2</v>
      </c>
    </row>
    <row r="20" spans="1:5" ht="26.1" customHeight="1">
      <c r="A20" s="21" t="s">
        <v>31</v>
      </c>
      <c r="B20" s="7" t="s">
        <v>58</v>
      </c>
      <c r="C20" s="26">
        <v>15.9</v>
      </c>
      <c r="D20" s="49">
        <v>3.64</v>
      </c>
      <c r="E20" s="30">
        <v>2</v>
      </c>
    </row>
    <row r="21" spans="1:5" ht="26.1" customHeight="1" thickBot="1">
      <c r="A21" s="21" t="s">
        <v>30</v>
      </c>
      <c r="B21" s="54" t="s">
        <v>58</v>
      </c>
      <c r="C21" s="56">
        <v>15.9</v>
      </c>
      <c r="D21" s="49">
        <v>3.64</v>
      </c>
      <c r="E21" s="30">
        <v>2</v>
      </c>
    </row>
    <row r="22" spans="1:5" ht="26.1" customHeight="1">
      <c r="A22" s="18" t="s">
        <v>4</v>
      </c>
      <c r="B22" s="19" t="s">
        <v>49</v>
      </c>
      <c r="C22" s="51">
        <v>43.2</v>
      </c>
      <c r="D22" s="48">
        <v>10.95</v>
      </c>
      <c r="E22" s="29">
        <v>3</v>
      </c>
    </row>
    <row r="23" spans="1:5" ht="26.1" customHeight="1">
      <c r="A23" s="20" t="s">
        <v>6</v>
      </c>
      <c r="B23" s="55" t="s">
        <v>66</v>
      </c>
      <c r="C23" s="52">
        <v>17.600000000000001</v>
      </c>
      <c r="D23" s="49">
        <v>7.04</v>
      </c>
      <c r="E23" s="30">
        <v>3</v>
      </c>
    </row>
    <row r="24" spans="1:5" ht="26.1" customHeight="1">
      <c r="A24" s="20" t="s">
        <v>22</v>
      </c>
      <c r="B24" s="55" t="s">
        <v>21</v>
      </c>
      <c r="C24" s="52">
        <v>16</v>
      </c>
      <c r="D24" s="49">
        <v>6.79</v>
      </c>
      <c r="E24" s="30">
        <v>3</v>
      </c>
    </row>
    <row r="25" spans="1:5" ht="26.1" customHeight="1">
      <c r="A25" s="20" t="s">
        <v>36</v>
      </c>
      <c r="B25" s="55" t="s">
        <v>52</v>
      </c>
      <c r="C25" s="52">
        <v>26.5</v>
      </c>
      <c r="D25" s="49">
        <v>8.4</v>
      </c>
      <c r="E25" s="30">
        <v>3</v>
      </c>
    </row>
    <row r="26" spans="1:5" ht="26.1" customHeight="1">
      <c r="A26" s="20" t="s">
        <v>37</v>
      </c>
      <c r="B26" s="55" t="s">
        <v>48</v>
      </c>
      <c r="C26" s="52">
        <v>32.4</v>
      </c>
      <c r="D26" s="49">
        <v>9.3000000000000007</v>
      </c>
      <c r="E26" s="30">
        <v>3</v>
      </c>
    </row>
    <row r="27" spans="1:5" ht="26.1" customHeight="1">
      <c r="A27" s="20" t="s">
        <v>53</v>
      </c>
      <c r="B27" s="55" t="s">
        <v>54</v>
      </c>
      <c r="C27" s="52">
        <v>16</v>
      </c>
      <c r="D27" s="49">
        <v>6.79</v>
      </c>
      <c r="E27" s="30">
        <v>3</v>
      </c>
    </row>
    <row r="28" spans="1:5" ht="26.1" customHeight="1">
      <c r="A28" s="20" t="s">
        <v>27</v>
      </c>
      <c r="B28" s="55" t="s">
        <v>58</v>
      </c>
      <c r="C28" s="52">
        <v>16</v>
      </c>
      <c r="D28" s="49">
        <v>6.79</v>
      </c>
      <c r="E28" s="30">
        <v>3</v>
      </c>
    </row>
    <row r="29" spans="1:5" ht="26.1" customHeight="1">
      <c r="A29" s="21" t="s">
        <v>28</v>
      </c>
      <c r="B29" s="54" t="s">
        <v>58</v>
      </c>
      <c r="C29" s="52">
        <v>16</v>
      </c>
      <c r="D29" s="49">
        <v>6.79</v>
      </c>
      <c r="E29" s="30">
        <v>3</v>
      </c>
    </row>
    <row r="30" spans="1:5" ht="26.1" customHeight="1" thickBot="1">
      <c r="A30" s="22" t="s">
        <v>29</v>
      </c>
      <c r="B30" s="23" t="s">
        <v>58</v>
      </c>
      <c r="C30" s="53">
        <v>16</v>
      </c>
      <c r="D30" s="50">
        <v>6.79</v>
      </c>
      <c r="E30" s="31">
        <v>3</v>
      </c>
    </row>
    <row r="31" spans="1:5" ht="26.1" customHeight="1">
      <c r="A31" s="18" t="s">
        <v>24</v>
      </c>
      <c r="B31" s="19" t="s">
        <v>23</v>
      </c>
      <c r="C31" s="27">
        <v>16</v>
      </c>
      <c r="D31" s="48">
        <v>9.8699999999999992</v>
      </c>
      <c r="E31" s="29">
        <v>4</v>
      </c>
    </row>
    <row r="32" spans="1:5" ht="26.1" customHeight="1">
      <c r="A32" s="20" t="s">
        <v>33</v>
      </c>
      <c r="B32" s="55" t="s">
        <v>32</v>
      </c>
      <c r="C32" s="26">
        <v>16</v>
      </c>
      <c r="D32" s="49">
        <v>9.8699999999999992</v>
      </c>
      <c r="E32" s="30">
        <v>4</v>
      </c>
    </row>
    <row r="33" spans="1:5" ht="26.1" customHeight="1" thickBot="1">
      <c r="A33" s="24" t="s">
        <v>35</v>
      </c>
      <c r="B33" s="25" t="s">
        <v>34</v>
      </c>
      <c r="C33" s="28">
        <v>16</v>
      </c>
      <c r="D33" s="50">
        <v>9.8699999999999992</v>
      </c>
      <c r="E33" s="31">
        <v>4</v>
      </c>
    </row>
    <row r="39" spans="1:5" ht="15">
      <c r="A39" s="4"/>
    </row>
  </sheetData>
  <conditionalFormatting sqref="A1:E33">
    <cfRule type="cellIs" dxfId="6" priority="6" operator="equal">
      <formula>$E$9</formula>
    </cfRule>
    <cfRule type="cellIs" dxfId="5" priority="7" operator="equal">
      <formula>$E$2</formula>
    </cfRule>
  </conditionalFormatting>
  <conditionalFormatting sqref="A1:XFD1048576">
    <cfRule type="cellIs" dxfId="4" priority="1" operator="equal">
      <formula>4</formula>
    </cfRule>
    <cfRule type="cellIs" dxfId="3" priority="2" operator="equal">
      <formula>1</formula>
    </cfRule>
    <cfRule type="cellIs" dxfId="2" priority="3" operator="equal">
      <formula>2</formula>
    </cfRule>
    <cfRule type="cellIs" dxfId="1" priority="4" operator="equal">
      <formula>3</formula>
    </cfRule>
  </conditionalFormatting>
  <conditionalFormatting sqref="E21">
    <cfRule type="cellIs" dxfId="0" priority="5" operator="equal">
      <formula>$E$21</formula>
    </cfRule>
  </conditionalFormatting>
  <printOptions horizontalCentered="1" verticalCentered="1"/>
  <pageMargins left="0.25" right="0.25" top="0.25" bottom="0.25" header="0" footer="0"/>
  <pageSetup paperSize="9" scale="91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14EA-9321-46E6-A2D8-FA3C80DCECFF}">
  <dimension ref="A1:C12"/>
  <sheetViews>
    <sheetView workbookViewId="0">
      <selection activeCell="A13" sqref="A13"/>
    </sheetView>
  </sheetViews>
  <sheetFormatPr defaultRowHeight="26.25"/>
  <cols>
    <col min="1" max="1" width="33" style="35" bestFit="1" customWidth="1"/>
    <col min="2" max="2" width="15.7109375" style="35" bestFit="1" customWidth="1"/>
    <col min="3" max="3" width="46.28515625" style="35" bestFit="1" customWidth="1"/>
    <col min="4" max="16384" width="9.140625" style="35"/>
  </cols>
  <sheetData>
    <row r="1" spans="1:3" ht="52.5">
      <c r="A1" s="32" t="s">
        <v>69</v>
      </c>
      <c r="B1" s="33" t="s">
        <v>73</v>
      </c>
      <c r="C1" s="34" t="s">
        <v>71</v>
      </c>
    </row>
    <row r="2" spans="1:3">
      <c r="A2" s="36" t="s">
        <v>70</v>
      </c>
      <c r="B2" s="37">
        <v>8546.69</v>
      </c>
      <c r="C2" s="38" t="s">
        <v>72</v>
      </c>
    </row>
    <row r="3" spans="1:3">
      <c r="A3" s="36" t="s">
        <v>74</v>
      </c>
      <c r="B3" s="39">
        <v>868</v>
      </c>
      <c r="C3" s="38"/>
    </row>
    <row r="4" spans="1:3">
      <c r="A4" s="36" t="s">
        <v>75</v>
      </c>
      <c r="B4" s="39">
        <v>427.87</v>
      </c>
      <c r="C4" s="38"/>
    </row>
    <row r="5" spans="1:3" ht="52.5">
      <c r="A5" s="40" t="s">
        <v>78</v>
      </c>
      <c r="B5" s="41">
        <v>1363.05</v>
      </c>
      <c r="C5" s="38" t="s">
        <v>79</v>
      </c>
    </row>
    <row r="6" spans="1:3" ht="78.75">
      <c r="A6" s="40" t="s">
        <v>76</v>
      </c>
      <c r="B6" s="39">
        <v>17.027999999999999</v>
      </c>
      <c r="C6" s="38"/>
    </row>
    <row r="7" spans="1:3">
      <c r="A7" s="36" t="s">
        <v>77</v>
      </c>
      <c r="B7" s="39">
        <v>52.38</v>
      </c>
      <c r="C7" s="38"/>
    </row>
    <row r="8" spans="1:3">
      <c r="A8" s="40" t="s">
        <v>85</v>
      </c>
      <c r="B8" s="39">
        <v>106.22</v>
      </c>
      <c r="C8" s="38"/>
    </row>
    <row r="9" spans="1:3" ht="52.5">
      <c r="A9" s="40" t="s">
        <v>84</v>
      </c>
      <c r="B9" s="39">
        <v>49.01</v>
      </c>
      <c r="C9" s="38"/>
    </row>
    <row r="10" spans="1:3">
      <c r="A10" s="36" t="s">
        <v>80</v>
      </c>
      <c r="B10" s="39">
        <v>81.58</v>
      </c>
      <c r="C10" s="38" t="s">
        <v>81</v>
      </c>
    </row>
    <row r="11" spans="1:3" ht="52.5">
      <c r="A11" s="42" t="s">
        <v>82</v>
      </c>
      <c r="B11" s="43">
        <v>2351.6999999999998</v>
      </c>
      <c r="C11" s="44" t="s">
        <v>83</v>
      </c>
    </row>
    <row r="12" spans="1:3" ht="52.5">
      <c r="A12" s="47" t="s">
        <v>86</v>
      </c>
      <c r="B12" s="45">
        <v>235</v>
      </c>
      <c r="C12" s="46" t="s">
        <v>87</v>
      </c>
    </row>
  </sheetData>
  <printOptions horizontalCentered="1" verticalCentered="1"/>
  <pageMargins left="0.25" right="0.25" top="0.25" bottom="0.25" header="0" footer="0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Hammad</dc:creator>
  <cp:lastModifiedBy>Abdelrahman Tarek</cp:lastModifiedBy>
  <cp:lastPrinted>2026-04-11T20:25:08Z</cp:lastPrinted>
  <dcterms:created xsi:type="dcterms:W3CDTF">2025-10-24T17:42:31Z</dcterms:created>
  <dcterms:modified xsi:type="dcterms:W3CDTF">2026-04-14T11:05:44Z</dcterms:modified>
</cp:coreProperties>
</file>